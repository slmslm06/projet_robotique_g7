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el\Desktop\Projet\"/>
    </mc:Choice>
  </mc:AlternateContent>
  <xr:revisionPtr revIDLastSave="0" documentId="13_ncr:1_{33ACEFA3-AF08-42D0-8918-457C1F696645}" xr6:coauthVersionLast="47" xr6:coauthVersionMax="47" xr10:uidLastSave="{00000000-0000-0000-0000-000000000000}"/>
  <bookViews>
    <workbookView xWindow="-110" yWindow="-110" windowWidth="19420" windowHeight="10300" xr2:uid="{4D45913F-76A7-4E2C-A3B1-074262C1A5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2" i="1" l="1"/>
  <c r="C42" i="1"/>
  <c r="C41" i="1"/>
  <c r="C40" i="1"/>
  <c r="A61" i="1" a="1"/>
  <c r="A61" i="1" s="1"/>
  <c r="L49" i="1" a="1"/>
  <c r="L49" i="1" s="1"/>
  <c r="A52" i="1" a="1"/>
  <c r="A52" i="1" s="1"/>
  <c r="G41" i="1"/>
  <c r="G42" i="1"/>
  <c r="G43" i="1"/>
  <c r="G44" i="1"/>
  <c r="G45" i="1"/>
  <c r="G46" i="1"/>
  <c r="G47" i="1"/>
  <c r="G48" i="1"/>
  <c r="G40" i="1"/>
  <c r="F41" i="1"/>
  <c r="F42" i="1"/>
  <c r="F43" i="1"/>
  <c r="F44" i="1"/>
  <c r="F45" i="1"/>
  <c r="F46" i="1"/>
  <c r="F47" i="1"/>
  <c r="F48" i="1"/>
  <c r="F40" i="1"/>
  <c r="E41" i="1"/>
  <c r="E42" i="1"/>
  <c r="E43" i="1"/>
  <c r="E44" i="1"/>
  <c r="E45" i="1"/>
  <c r="E46" i="1"/>
  <c r="E47" i="1"/>
  <c r="E48" i="1"/>
  <c r="E40" i="1"/>
  <c r="H48" i="1"/>
  <c r="H47" i="1"/>
  <c r="H46" i="1"/>
  <c r="H45" i="1"/>
  <c r="H44" i="1"/>
  <c r="H43" i="1"/>
  <c r="H41" i="1"/>
  <c r="H40" i="1"/>
  <c r="D48" i="1"/>
  <c r="D47" i="1"/>
  <c r="D46" i="1"/>
  <c r="D45" i="1"/>
  <c r="D44" i="1"/>
  <c r="D43" i="1"/>
  <c r="D42" i="1"/>
  <c r="D41" i="1"/>
  <c r="D40" i="1"/>
  <c r="C48" i="1"/>
  <c r="C47" i="1"/>
  <c r="C46" i="1"/>
  <c r="C45" i="1"/>
  <c r="C44" i="1"/>
  <c r="C43" i="1"/>
  <c r="K9" i="1"/>
  <c r="K10" i="1"/>
  <c r="K11" i="1"/>
  <c r="K12" i="1"/>
  <c r="J40" i="1" l="1" a="1"/>
  <c r="G18" i="1" a="1"/>
  <c r="J40" i="1" l="1"/>
  <c r="M59" i="1" a="1"/>
  <c r="M59" i="1" s="1"/>
  <c r="G18" i="1"/>
  <c r="G26" i="1" s="1" a="1"/>
  <c r="G26" i="1" s="1"/>
  <c r="P12" i="1" l="1" a="1"/>
  <c r="P12" i="1" s="1"/>
  <c r="N20" i="1" a="1"/>
  <c r="N20" i="1" s="1"/>
  <c r="N28" i="1" s="1" a="1"/>
  <c r="N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<sst xmlns="http://schemas.openxmlformats.org/spreadsheetml/2006/main" count="84" uniqueCount="53">
  <si>
    <t>45°</t>
  </si>
  <si>
    <t>Essai 1</t>
  </si>
  <si>
    <t>Essai 2</t>
  </si>
  <si>
    <t>Essai 3</t>
  </si>
  <si>
    <t>Essai 4</t>
  </si>
  <si>
    <t>Essai 5</t>
  </si>
  <si>
    <t>Essai 6</t>
  </si>
  <si>
    <t>Essai 7</t>
  </si>
  <si>
    <t>Essai 8</t>
  </si>
  <si>
    <t>Essai 9</t>
  </si>
  <si>
    <t>x1</t>
  </si>
  <si>
    <t>x2</t>
  </si>
  <si>
    <t>x1=angle  de tir</t>
  </si>
  <si>
    <t>x2=vitesse de rotation</t>
  </si>
  <si>
    <t>30°</t>
  </si>
  <si>
    <t>60°</t>
  </si>
  <si>
    <t>Essaie 1</t>
  </si>
  <si>
    <t>Essaie 2</t>
  </si>
  <si>
    <t>Essaie 3</t>
  </si>
  <si>
    <t>Essaie 4</t>
  </si>
  <si>
    <t>Essaie 5</t>
  </si>
  <si>
    <t>Essaie 6</t>
  </si>
  <si>
    <t>Essaie 7</t>
  </si>
  <si>
    <t>Essaie 8</t>
  </si>
  <si>
    <t>Essaie 9</t>
  </si>
  <si>
    <t>6m/s</t>
  </si>
  <si>
    <t>5m/s</t>
  </si>
  <si>
    <t>5,5ms</t>
  </si>
  <si>
    <t>x1*x2</t>
  </si>
  <si>
    <t>Y</t>
  </si>
  <si>
    <t>Transposée</t>
  </si>
  <si>
    <t>Matrice d'exp</t>
  </si>
  <si>
    <t>Produit mat</t>
  </si>
  <si>
    <t>Ct</t>
  </si>
  <si>
    <t>CtxC</t>
  </si>
  <si>
    <t>Inv(CTxC)</t>
  </si>
  <si>
    <t>a=Inv(CtxC)xCtxY</t>
  </si>
  <si>
    <t>a1</t>
  </si>
  <si>
    <t>a2</t>
  </si>
  <si>
    <t>1er ordre</t>
  </si>
  <si>
    <t>2e ordre</t>
  </si>
  <si>
    <t>a0</t>
  </si>
  <si>
    <t>a12</t>
  </si>
  <si>
    <t>x1*x1</t>
  </si>
  <si>
    <t>x2*x2</t>
  </si>
  <si>
    <t>Transposée Ct</t>
  </si>
  <si>
    <t>Cx*Y</t>
  </si>
  <si>
    <t>CtxY</t>
  </si>
  <si>
    <t>CT*C</t>
  </si>
  <si>
    <t>Inv(Ct*C)</t>
  </si>
  <si>
    <t>a=Inv(Ct*C)*Ct*Y</t>
  </si>
  <si>
    <t>a11</t>
  </si>
  <si>
    <t>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</si>
</sst>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984F-0D6C-4B0B-92C3-1F47D7FCD7F7}">
  <dimension ref="A1:Q66"/>
  <sheetViews>
    <sheetView tabSelected="1" topLeftCell="A32" zoomScale="50" workbookViewId="0">
      <selection activeCell="S57" sqref="S57"/>
    </sheetView>
  </sheetViews>
  <sheetFormatPr baseColWidth="10" defaultRowHeight="14.5" x14ac:dyDescent="0.35"/>
  <cols>
    <col min="1" max="5" width="11.08984375" bestFit="1" customWidth="1"/>
    <col min="6" max="6" width="12.54296875" bestFit="1" customWidth="1"/>
    <col min="7" max="8" width="11.08984375" bestFit="1" customWidth="1"/>
    <col min="9" max="9" width="12.36328125" bestFit="1" customWidth="1"/>
    <col min="10" max="10" width="11.08984375" bestFit="1" customWidth="1"/>
    <col min="11" max="11" width="13.7265625" bestFit="1" customWidth="1"/>
    <col min="12" max="12" width="13.36328125" bestFit="1" customWidth="1"/>
    <col min="13" max="14" width="14.453125" bestFit="1" customWidth="1"/>
    <col min="15" max="15" width="13.7265625" bestFit="1" customWidth="1"/>
    <col min="16" max="16" width="11.08984375" bestFit="1" customWidth="1"/>
    <col min="17" max="18" width="11" bestFit="1" customWidth="1"/>
    <col min="23" max="23" width="11" bestFit="1" customWidth="1"/>
  </cols>
  <sheetData>
    <row r="1" spans="1:16" x14ac:dyDescent="0.35">
      <c r="A1" t="s">
        <v>10</v>
      </c>
      <c r="B1" t="s">
        <v>14</v>
      </c>
      <c r="C1" t="s">
        <v>0</v>
      </c>
      <c r="D1" t="s">
        <v>15</v>
      </c>
      <c r="F1" s="9" t="s">
        <v>39</v>
      </c>
      <c r="G1" s="9" t="s">
        <v>10</v>
      </c>
      <c r="H1" s="9">
        <v>10</v>
      </c>
      <c r="I1" s="9">
        <v>50</v>
      </c>
      <c r="J1" s="9">
        <v>50</v>
      </c>
      <c r="K1" s="9">
        <v>10</v>
      </c>
    </row>
    <row r="2" spans="1:16" x14ac:dyDescent="0.35">
      <c r="A2" t="s">
        <v>11</v>
      </c>
      <c r="B2" t="s">
        <v>25</v>
      </c>
      <c r="C2" t="s">
        <v>25</v>
      </c>
      <c r="D2" t="s">
        <v>25</v>
      </c>
      <c r="F2" s="9"/>
      <c r="G2" s="9" t="s">
        <v>11</v>
      </c>
      <c r="H2" s="9">
        <v>8</v>
      </c>
      <c r="I2" s="9">
        <v>8</v>
      </c>
      <c r="J2" s="9">
        <v>10</v>
      </c>
      <c r="K2" s="9">
        <v>10</v>
      </c>
    </row>
    <row r="3" spans="1:16" x14ac:dyDescent="0.35">
      <c r="A3" s="1" t="s">
        <v>1</v>
      </c>
      <c r="F3" s="9"/>
      <c r="G3" s="9" t="s">
        <v>29</v>
      </c>
      <c r="H3" s="9">
        <v>3.31</v>
      </c>
      <c r="I3" s="9">
        <v>6.55</v>
      </c>
      <c r="J3" s="9">
        <v>10.09</v>
      </c>
      <c r="K3" s="9">
        <v>4.67</v>
      </c>
    </row>
    <row r="4" spans="1:16" x14ac:dyDescent="0.35">
      <c r="A4" s="1" t="s">
        <v>2</v>
      </c>
    </row>
    <row r="5" spans="1:16" x14ac:dyDescent="0.35">
      <c r="A5" s="1" t="s">
        <v>3</v>
      </c>
    </row>
    <row r="6" spans="1:16" x14ac:dyDescent="0.35">
      <c r="B6" t="s">
        <v>27</v>
      </c>
      <c r="C6" t="s">
        <v>27</v>
      </c>
      <c r="D6" t="s">
        <v>27</v>
      </c>
    </row>
    <row r="7" spans="1:16" x14ac:dyDescent="0.35">
      <c r="A7" s="1" t="s">
        <v>4</v>
      </c>
      <c r="H7" t="s">
        <v>41</v>
      </c>
      <c r="I7" t="s">
        <v>37</v>
      </c>
      <c r="J7" t="s">
        <v>38</v>
      </c>
      <c r="K7" t="s">
        <v>42</v>
      </c>
    </row>
    <row r="8" spans="1:16" x14ac:dyDescent="0.35">
      <c r="A8" s="1" t="s">
        <v>5</v>
      </c>
      <c r="G8" s="3" t="s">
        <v>31</v>
      </c>
      <c r="H8" s="3"/>
      <c r="I8" s="3" t="s">
        <v>10</v>
      </c>
      <c r="J8" s="3" t="s">
        <v>11</v>
      </c>
      <c r="K8" s="3" t="s">
        <v>28</v>
      </c>
      <c r="L8" s="3" t="s">
        <v>29</v>
      </c>
      <c r="O8" t="s">
        <v>12</v>
      </c>
    </row>
    <row r="9" spans="1:16" x14ac:dyDescent="0.35">
      <c r="A9" s="1" t="s">
        <v>6</v>
      </c>
      <c r="G9" s="3" t="s">
        <v>16</v>
      </c>
      <c r="H9" s="8">
        <v>1</v>
      </c>
      <c r="I9" s="8">
        <v>10</v>
      </c>
      <c r="J9" s="8">
        <v>8</v>
      </c>
      <c r="K9" s="8">
        <f>I9*J9</f>
        <v>80</v>
      </c>
      <c r="L9" s="8">
        <v>3.31</v>
      </c>
      <c r="O9" t="s">
        <v>13</v>
      </c>
    </row>
    <row r="10" spans="1:16" x14ac:dyDescent="0.35">
      <c r="B10" t="s">
        <v>26</v>
      </c>
      <c r="C10" t="s">
        <v>26</v>
      </c>
      <c r="D10" t="s">
        <v>26</v>
      </c>
      <c r="G10" s="3" t="s">
        <v>17</v>
      </c>
      <c r="H10" s="8">
        <v>1</v>
      </c>
      <c r="I10" s="8">
        <v>50</v>
      </c>
      <c r="J10" s="8">
        <v>8</v>
      </c>
      <c r="K10" s="8">
        <f t="shared" ref="K10:K12" si="0">I10*J10</f>
        <v>400</v>
      </c>
      <c r="L10" s="8">
        <v>6.55</v>
      </c>
    </row>
    <row r="11" spans="1:16" x14ac:dyDescent="0.35">
      <c r="A11" s="1" t="s">
        <v>7</v>
      </c>
      <c r="G11" s="3" t="s">
        <v>18</v>
      </c>
      <c r="H11" s="8">
        <v>1</v>
      </c>
      <c r="I11" s="8">
        <v>50</v>
      </c>
      <c r="J11" s="8">
        <v>10</v>
      </c>
      <c r="K11" s="8">
        <f t="shared" si="0"/>
        <v>500</v>
      </c>
      <c r="L11" s="8">
        <v>10.09</v>
      </c>
      <c r="O11" s="6" t="s">
        <v>47</v>
      </c>
      <c r="P11" s="6"/>
    </row>
    <row r="12" spans="1:16" x14ac:dyDescent="0.35">
      <c r="A12" s="1" t="s">
        <v>8</v>
      </c>
      <c r="G12" s="3" t="s">
        <v>19</v>
      </c>
      <c r="H12" s="8">
        <v>1</v>
      </c>
      <c r="I12" s="8">
        <v>10</v>
      </c>
      <c r="J12" s="8">
        <v>10</v>
      </c>
      <c r="K12" s="8">
        <f t="shared" si="0"/>
        <v>100</v>
      </c>
      <c r="L12" s="8">
        <v>4.67</v>
      </c>
      <c r="O12" s="6"/>
      <c r="P12" s="6" cm="1">
        <f t="array" ref="P12:P15">MMULT(_xlfn.ANCHORARRAY(G18),L9:L12)</f>
        <v>24.619999999999997</v>
      </c>
    </row>
    <row r="13" spans="1:16" x14ac:dyDescent="0.35">
      <c r="A13" s="1" t="s">
        <v>9</v>
      </c>
      <c r="O13" s="6"/>
      <c r="P13" s="6">
        <v>911.80000000000007</v>
      </c>
    </row>
    <row r="14" spans="1:16" x14ac:dyDescent="0.35">
      <c r="O14" s="6"/>
      <c r="P14" s="6">
        <v>226.48000000000002</v>
      </c>
    </row>
    <row r="15" spans="1:16" x14ac:dyDescent="0.35">
      <c r="A15" s="1"/>
      <c r="O15" s="6"/>
      <c r="P15" s="6">
        <v>8396.7999999999993</v>
      </c>
    </row>
    <row r="16" spans="1:16" x14ac:dyDescent="0.35">
      <c r="A16" s="1"/>
    </row>
    <row r="17" spans="1:17" x14ac:dyDescent="0.35">
      <c r="A17" s="1"/>
      <c r="F17" t="s">
        <v>33</v>
      </c>
      <c r="G17" s="2" t="s">
        <v>30</v>
      </c>
      <c r="H17" s="2"/>
      <c r="I17" s="2"/>
      <c r="J17" s="2"/>
    </row>
    <row r="18" spans="1:17" x14ac:dyDescent="0.35">
      <c r="G18" s="2" cm="1">
        <f t="array" ref="G18:J21">TRANSPOSE(H9:K12)</f>
        <v>1</v>
      </c>
      <c r="H18" s="2">
        <v>1</v>
      </c>
      <c r="I18" s="2">
        <v>1</v>
      </c>
      <c r="J18" s="2">
        <v>1</v>
      </c>
    </row>
    <row r="19" spans="1:17" x14ac:dyDescent="0.35">
      <c r="G19" s="2">
        <v>10</v>
      </c>
      <c r="H19" s="2">
        <v>50</v>
      </c>
      <c r="I19" s="2">
        <v>50</v>
      </c>
      <c r="J19" s="2">
        <v>10</v>
      </c>
      <c r="M19" s="5" t="s">
        <v>35</v>
      </c>
      <c r="N19" s="5"/>
      <c r="O19" s="5"/>
      <c r="P19" s="5"/>
      <c r="Q19" s="5"/>
    </row>
    <row r="20" spans="1:17" x14ac:dyDescent="0.35">
      <c r="G20" s="2">
        <v>8</v>
      </c>
      <c r="H20" s="2">
        <v>8</v>
      </c>
      <c r="I20" s="2">
        <v>10</v>
      </c>
      <c r="J20" s="2">
        <v>10</v>
      </c>
      <c r="M20" s="5"/>
      <c r="N20" s="5" cm="1">
        <f t="array" ref="N20:Q23">MINVERSE(MMULT(_xlfn.ANCHORARRAY(G18),H9:K12))</f>
        <v>66.625000000000142</v>
      </c>
      <c r="O20" s="5">
        <v>-1.5375000000000059</v>
      </c>
      <c r="P20" s="5">
        <v>-7.3125000000000178</v>
      </c>
      <c r="Q20" s="5">
        <v>0.16875000000000068</v>
      </c>
    </row>
    <row r="21" spans="1:17" x14ac:dyDescent="0.35">
      <c r="G21" s="2">
        <v>80</v>
      </c>
      <c r="H21" s="2">
        <v>400</v>
      </c>
      <c r="I21" s="2">
        <v>500</v>
      </c>
      <c r="J21" s="2">
        <v>100</v>
      </c>
      <c r="M21" s="5"/>
      <c r="N21" s="5">
        <v>-1.5375000000000054</v>
      </c>
      <c r="O21" s="5">
        <v>5.1250000000000281E-2</v>
      </c>
      <c r="P21" s="5">
        <v>0.16875000000000062</v>
      </c>
      <c r="Q21" s="5">
        <v>-5.6250000000000328E-3</v>
      </c>
    </row>
    <row r="22" spans="1:17" x14ac:dyDescent="0.35">
      <c r="M22" s="5"/>
      <c r="N22" s="5">
        <v>-7.3125000000000151</v>
      </c>
      <c r="O22" s="5">
        <v>0.16875000000000057</v>
      </c>
      <c r="P22" s="5">
        <v>0.81250000000000178</v>
      </c>
      <c r="Q22" s="5">
        <v>-1.8750000000000069E-2</v>
      </c>
    </row>
    <row r="23" spans="1:17" x14ac:dyDescent="0.35">
      <c r="M23" s="5"/>
      <c r="N23" s="5">
        <v>0.16875000000000057</v>
      </c>
      <c r="O23" s="5">
        <v>-5.6250000000000301E-3</v>
      </c>
      <c r="P23" s="5">
        <v>-1.8750000000000065E-2</v>
      </c>
      <c r="Q23" s="5">
        <v>6.2500000000000348E-4</v>
      </c>
    </row>
    <row r="25" spans="1:17" x14ac:dyDescent="0.35">
      <c r="F25" t="s">
        <v>34</v>
      </c>
      <c r="G25" s="4" t="s">
        <v>32</v>
      </c>
      <c r="H25" s="4"/>
      <c r="I25" s="4"/>
      <c r="J25" s="4"/>
    </row>
    <row r="26" spans="1:17" x14ac:dyDescent="0.35">
      <c r="G26" s="4" cm="1">
        <f t="array" ref="G26:J29">MMULT(_xlfn.ANCHORARRAY(G18),H9:K12)</f>
        <v>4</v>
      </c>
      <c r="H26" s="4">
        <v>120</v>
      </c>
      <c r="I26" s="4">
        <v>36</v>
      </c>
      <c r="J26" s="4">
        <v>1080</v>
      </c>
    </row>
    <row r="27" spans="1:17" x14ac:dyDescent="0.35">
      <c r="G27" s="4">
        <v>120</v>
      </c>
      <c r="H27" s="4">
        <v>5200</v>
      </c>
      <c r="I27" s="4">
        <v>1080</v>
      </c>
      <c r="J27" s="4">
        <v>46800</v>
      </c>
      <c r="M27" t="s">
        <v>36</v>
      </c>
    </row>
    <row r="28" spans="1:17" x14ac:dyDescent="0.35">
      <c r="G28" s="4">
        <v>36</v>
      </c>
      <c r="H28" s="4">
        <v>1080</v>
      </c>
      <c r="I28" s="4">
        <v>328</v>
      </c>
      <c r="J28" s="4">
        <v>9840</v>
      </c>
      <c r="M28" t="s">
        <v>41</v>
      </c>
      <c r="N28" s="7" cm="1">
        <f t="array" ref="N28:N31">MMULT(_xlfn.ANCHORARRAY(N20),_xlfn.ANCHORARRAY(P12))</f>
        <v>-0.76000000000067303</v>
      </c>
    </row>
    <row r="29" spans="1:17" x14ac:dyDescent="0.35">
      <c r="G29" s="4">
        <v>1080</v>
      </c>
      <c r="H29" s="4">
        <v>46800</v>
      </c>
      <c r="I29" s="4">
        <v>9840</v>
      </c>
      <c r="J29" s="4">
        <v>426400</v>
      </c>
      <c r="M29" t="s">
        <v>37</v>
      </c>
      <c r="N29" s="7">
        <v>-0.13700000000000045</v>
      </c>
    </row>
    <row r="30" spans="1:17" x14ac:dyDescent="0.35">
      <c r="M30" t="s">
        <v>38</v>
      </c>
      <c r="N30" s="7">
        <v>0.40749999999999886</v>
      </c>
    </row>
    <row r="31" spans="1:17" x14ac:dyDescent="0.35">
      <c r="M31" t="s">
        <v>42</v>
      </c>
      <c r="N31" s="7">
        <v>2.7249999999998664E-2</v>
      </c>
    </row>
    <row r="33" spans="1:15" x14ac:dyDescent="0.35">
      <c r="A33" s="9" t="s">
        <v>40</v>
      </c>
      <c r="B33" s="9" t="s">
        <v>10</v>
      </c>
      <c r="C33" s="9">
        <v>10</v>
      </c>
      <c r="D33" s="9">
        <v>50</v>
      </c>
      <c r="E33" s="9">
        <v>50</v>
      </c>
      <c r="F33" s="9">
        <v>10</v>
      </c>
      <c r="G33" s="9">
        <v>50</v>
      </c>
      <c r="H33" s="9">
        <v>30</v>
      </c>
      <c r="I33" s="9">
        <v>10</v>
      </c>
      <c r="J33" s="9">
        <v>30</v>
      </c>
      <c r="K33" s="9">
        <v>30</v>
      </c>
    </row>
    <row r="34" spans="1:15" x14ac:dyDescent="0.35">
      <c r="A34" s="9"/>
      <c r="B34" s="9" t="s">
        <v>11</v>
      </c>
      <c r="C34" s="9">
        <v>8</v>
      </c>
      <c r="D34" s="9">
        <v>8</v>
      </c>
      <c r="E34" s="9">
        <v>10</v>
      </c>
      <c r="F34" s="9">
        <v>10</v>
      </c>
      <c r="G34" s="9">
        <v>9</v>
      </c>
      <c r="H34" s="9">
        <v>9</v>
      </c>
      <c r="I34" s="9">
        <v>9</v>
      </c>
      <c r="J34" s="9">
        <v>8</v>
      </c>
      <c r="K34" s="9">
        <v>10</v>
      </c>
    </row>
    <row r="35" spans="1:15" x14ac:dyDescent="0.35">
      <c r="B35" s="9" t="s">
        <v>29</v>
      </c>
      <c r="C35" s="9">
        <v>2.19</v>
      </c>
      <c r="D35" s="9">
        <v>6.3</v>
      </c>
      <c r="E35" s="9">
        <v>9.85</v>
      </c>
      <c r="F35" s="9">
        <v>3.42</v>
      </c>
      <c r="G35" s="9">
        <v>7.98</v>
      </c>
      <c r="H35" s="9">
        <v>7.01</v>
      </c>
      <c r="I35" s="9">
        <v>2.77</v>
      </c>
      <c r="J35" s="9">
        <v>5.54</v>
      </c>
      <c r="K35" s="9">
        <v>8.66</v>
      </c>
    </row>
    <row r="39" spans="1:15" x14ac:dyDescent="0.35">
      <c r="A39" s="3" t="s">
        <v>31</v>
      </c>
      <c r="B39" s="3"/>
      <c r="C39" s="3" t="s">
        <v>10</v>
      </c>
      <c r="D39" s="3" t="s">
        <v>11</v>
      </c>
      <c r="E39" s="3" t="s">
        <v>28</v>
      </c>
      <c r="F39" s="3" t="s">
        <v>43</v>
      </c>
      <c r="G39" s="3" t="s">
        <v>44</v>
      </c>
      <c r="H39" s="3" t="s">
        <v>29</v>
      </c>
      <c r="J39" s="10" t="s">
        <v>49</v>
      </c>
    </row>
    <row r="40" spans="1:15" x14ac:dyDescent="0.35">
      <c r="A40" s="3" t="s">
        <v>16</v>
      </c>
      <c r="B40" s="3">
        <v>1</v>
      </c>
      <c r="C40" s="3">
        <f>C33</f>
        <v>10</v>
      </c>
      <c r="D40" s="3">
        <f>C34</f>
        <v>8</v>
      </c>
      <c r="E40" s="3">
        <f>C40*D40</f>
        <v>80</v>
      </c>
      <c r="F40" s="3">
        <f>C40*C40</f>
        <v>100</v>
      </c>
      <c r="G40" s="3">
        <f>D40*D40</f>
        <v>64</v>
      </c>
      <c r="H40" s="3">
        <f>C35</f>
        <v>2.19</v>
      </c>
      <c r="J40" s="10" cm="1">
        <f t="array" ref="J40:O45">MINVERSE(_xlfn.ANCHORARRAY(A61))</f>
        <v>3287.5243055399715</v>
      </c>
      <c r="K40" s="10">
        <v>-1.6499999999766028</v>
      </c>
      <c r="L40" s="10">
        <v>-729.56249999659371</v>
      </c>
      <c r="M40" s="10">
        <v>0.16874999999736642</v>
      </c>
      <c r="N40" s="10">
        <v>1.9791666666774585E-3</v>
      </c>
      <c r="O40" s="10">
        <v>40.166666666482172</v>
      </c>
    </row>
    <row r="41" spans="1:15" x14ac:dyDescent="0.35">
      <c r="A41" s="3" t="s">
        <v>17</v>
      </c>
      <c r="B41" s="3">
        <v>1</v>
      </c>
      <c r="C41" s="3">
        <f>D33</f>
        <v>50</v>
      </c>
      <c r="D41" s="3">
        <f>D34</f>
        <v>8</v>
      </c>
      <c r="E41" s="3">
        <f t="shared" ref="E41:E48" si="1">C41*D41</f>
        <v>400</v>
      </c>
      <c r="F41" s="3">
        <f t="shared" ref="F41:F48" si="2">C41*C41</f>
        <v>2500</v>
      </c>
      <c r="G41" s="3">
        <f t="shared" ref="G41:G48" si="3">D41*D41</f>
        <v>64</v>
      </c>
      <c r="H41" s="3">
        <f>D35</f>
        <v>6.3</v>
      </c>
      <c r="J41" s="10">
        <v>-1.6499999999999231</v>
      </c>
      <c r="K41" s="10">
        <v>6.2291666666661784E-2</v>
      </c>
      <c r="L41" s="10">
        <v>0.16874999999999968</v>
      </c>
      <c r="M41" s="10">
        <v>-5.6249999999994135E-3</v>
      </c>
      <c r="N41" s="10">
        <v>-1.8750000000000816E-4</v>
      </c>
      <c r="O41" s="10">
        <v>-9.5016046146477306E-16</v>
      </c>
    </row>
    <row r="42" spans="1:15" x14ac:dyDescent="0.35">
      <c r="A42" s="3" t="s">
        <v>18</v>
      </c>
      <c r="B42" s="3">
        <v>1</v>
      </c>
      <c r="C42" s="3">
        <f>E33</f>
        <v>50</v>
      </c>
      <c r="D42" s="3">
        <f>E34</f>
        <v>10</v>
      </c>
      <c r="E42" s="3">
        <f t="shared" si="1"/>
        <v>500</v>
      </c>
      <c r="F42" s="3">
        <f t="shared" si="2"/>
        <v>2500</v>
      </c>
      <c r="G42" s="3">
        <f t="shared" si="3"/>
        <v>100</v>
      </c>
      <c r="H42" s="3">
        <f>E35</f>
        <v>9.85</v>
      </c>
      <c r="J42" s="10">
        <v>-729.56249999650811</v>
      </c>
      <c r="K42" s="10">
        <v>0.16874999999477519</v>
      </c>
      <c r="L42" s="10">
        <v>162.72916666590345</v>
      </c>
      <c r="M42" s="10">
        <v>-1.874999999941206E-2</v>
      </c>
      <c r="N42" s="10">
        <v>-2.3822698166037376E-15</v>
      </c>
      <c r="O42" s="10">
        <v>-8.9999999999586588</v>
      </c>
    </row>
    <row r="43" spans="1:15" x14ac:dyDescent="0.35">
      <c r="A43" s="3" t="s">
        <v>19</v>
      </c>
      <c r="B43" s="3">
        <v>1</v>
      </c>
      <c r="C43" s="3">
        <f>F33</f>
        <v>10</v>
      </c>
      <c r="D43" s="3">
        <f>F34</f>
        <v>10</v>
      </c>
      <c r="E43" s="3">
        <f t="shared" si="1"/>
        <v>100</v>
      </c>
      <c r="F43" s="3">
        <f t="shared" si="2"/>
        <v>100</v>
      </c>
      <c r="G43" s="3">
        <f t="shared" si="3"/>
        <v>100</v>
      </c>
      <c r="H43" s="3">
        <f>F35</f>
        <v>3.42</v>
      </c>
      <c r="J43" s="10">
        <v>0.16874999999998966</v>
      </c>
      <c r="K43" s="10">
        <v>-5.6249999999994603E-3</v>
      </c>
      <c r="L43" s="10">
        <v>-1.8749999999999538E-2</v>
      </c>
      <c r="M43" s="10">
        <v>6.2499999999993637E-4</v>
      </c>
      <c r="N43" s="10">
        <v>7.2822959209507551E-19</v>
      </c>
      <c r="O43" s="10">
        <v>8.08052455357152E-17</v>
      </c>
    </row>
    <row r="44" spans="1:15" x14ac:dyDescent="0.35">
      <c r="A44" s="3" t="s">
        <v>20</v>
      </c>
      <c r="B44" s="3">
        <v>1</v>
      </c>
      <c r="C44" s="3">
        <f>G33</f>
        <v>50</v>
      </c>
      <c r="D44" s="3">
        <f>G34</f>
        <v>9</v>
      </c>
      <c r="E44" s="3">
        <f t="shared" si="1"/>
        <v>450</v>
      </c>
      <c r="F44" s="3">
        <f t="shared" si="2"/>
        <v>2500</v>
      </c>
      <c r="G44" s="3">
        <f t="shared" si="3"/>
        <v>81</v>
      </c>
      <c r="H44" s="3">
        <f>G35</f>
        <v>7.98</v>
      </c>
      <c r="J44" s="10">
        <v>1.9791666666669023E-3</v>
      </c>
      <c r="K44" s="10">
        <v>-1.8749999999999954E-4</v>
      </c>
      <c r="L44" s="10">
        <v>-5.5634957222080653E-17</v>
      </c>
      <c r="M44" s="10">
        <v>-2.1286502653152067E-19</v>
      </c>
      <c r="N44" s="10">
        <v>3.1250000000000247E-6</v>
      </c>
      <c r="O44" s="10">
        <v>3.4464132792439344E-18</v>
      </c>
    </row>
    <row r="45" spans="1:15" x14ac:dyDescent="0.35">
      <c r="A45" s="3" t="s">
        <v>21</v>
      </c>
      <c r="B45" s="3">
        <v>1</v>
      </c>
      <c r="C45" s="3">
        <f>H33</f>
        <v>30</v>
      </c>
      <c r="D45" s="3">
        <f>H34</f>
        <v>9</v>
      </c>
      <c r="E45" s="3">
        <f t="shared" si="1"/>
        <v>270</v>
      </c>
      <c r="F45" s="3">
        <f t="shared" si="2"/>
        <v>900</v>
      </c>
      <c r="G45" s="3">
        <f t="shared" si="3"/>
        <v>81</v>
      </c>
      <c r="H45" s="3">
        <f>H35</f>
        <v>7.01</v>
      </c>
      <c r="J45" s="10">
        <v>40.166666666472686</v>
      </c>
      <c r="K45" s="10">
        <v>2.8930330353420689E-13</v>
      </c>
      <c r="L45" s="10">
        <v>-8.9999999999576001</v>
      </c>
      <c r="M45" s="10">
        <v>-3.2547460097281671E-14</v>
      </c>
      <c r="N45" s="10">
        <v>1.3064636178387234E-16</v>
      </c>
      <c r="O45" s="10">
        <v>0.49999999999770312</v>
      </c>
    </row>
    <row r="46" spans="1:15" x14ac:dyDescent="0.35">
      <c r="A46" s="3" t="s">
        <v>22</v>
      </c>
      <c r="B46" s="3">
        <v>1</v>
      </c>
      <c r="C46" s="3">
        <f>I33</f>
        <v>10</v>
      </c>
      <c r="D46" s="3">
        <f>I34</f>
        <v>9</v>
      </c>
      <c r="E46" s="3">
        <f t="shared" si="1"/>
        <v>90</v>
      </c>
      <c r="F46" s="3">
        <f t="shared" si="2"/>
        <v>100</v>
      </c>
      <c r="G46" s="3">
        <f t="shared" si="3"/>
        <v>81</v>
      </c>
      <c r="H46" s="3">
        <f>I35</f>
        <v>2.77</v>
      </c>
    </row>
    <row r="47" spans="1:15" x14ac:dyDescent="0.35">
      <c r="A47" s="3" t="s">
        <v>23</v>
      </c>
      <c r="B47" s="3">
        <v>1</v>
      </c>
      <c r="C47" s="3">
        <f>J33</f>
        <v>30</v>
      </c>
      <c r="D47" s="3">
        <f>J34</f>
        <v>8</v>
      </c>
      <c r="E47" s="3">
        <f t="shared" si="1"/>
        <v>240</v>
      </c>
      <c r="F47" s="3">
        <f t="shared" si="2"/>
        <v>900</v>
      </c>
      <c r="G47" s="3">
        <f t="shared" si="3"/>
        <v>64</v>
      </c>
      <c r="H47" s="3">
        <f>J35</f>
        <v>5.54</v>
      </c>
    </row>
    <row r="48" spans="1:15" x14ac:dyDescent="0.35">
      <c r="A48" s="3" t="s">
        <v>24</v>
      </c>
      <c r="B48" s="3">
        <v>1</v>
      </c>
      <c r="C48" s="3">
        <f>K33</f>
        <v>30</v>
      </c>
      <c r="D48" s="3">
        <f>K34</f>
        <v>10</v>
      </c>
      <c r="E48" s="3">
        <f t="shared" si="1"/>
        <v>300</v>
      </c>
      <c r="F48" s="3">
        <f t="shared" si="2"/>
        <v>900</v>
      </c>
      <c r="G48" s="3">
        <f t="shared" si="3"/>
        <v>100</v>
      </c>
      <c r="H48" s="3">
        <f>K35</f>
        <v>8.66</v>
      </c>
    </row>
    <row r="49" spans="1:13" x14ac:dyDescent="0.35">
      <c r="K49" s="6" t="s">
        <v>46</v>
      </c>
      <c r="L49" s="6" cm="1">
        <f t="array" ref="L49:L54">MMULT(_xlfn.ANCHORARRAY(A52),H40:H48)</f>
        <v>53.72</v>
      </c>
    </row>
    <row r="50" spans="1:13" x14ac:dyDescent="0.35">
      <c r="L50" s="6">
        <v>1926.6</v>
      </c>
    </row>
    <row r="51" spans="1:13" x14ac:dyDescent="0.35">
      <c r="A51" s="2" t="s">
        <v>45</v>
      </c>
      <c r="L51" s="6">
        <v>491.38</v>
      </c>
    </row>
    <row r="52" spans="1:13" x14ac:dyDescent="0.35">
      <c r="A52" s="2" cm="1">
        <f t="array" ref="A52:I57">TRANSPOSE(B40:G48)</f>
        <v>1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L52" s="6">
        <v>17622.800000000003</v>
      </c>
    </row>
    <row r="53" spans="1:13" x14ac:dyDescent="0.35">
      <c r="A53" s="2">
        <v>10</v>
      </c>
      <c r="B53" s="2">
        <v>50</v>
      </c>
      <c r="C53" s="2">
        <v>50</v>
      </c>
      <c r="D53" s="2">
        <v>10</v>
      </c>
      <c r="E53" s="2">
        <v>50</v>
      </c>
      <c r="F53" s="2">
        <v>30</v>
      </c>
      <c r="G53" s="2">
        <v>10</v>
      </c>
      <c r="H53" s="2">
        <v>30</v>
      </c>
      <c r="I53" s="2">
        <v>30</v>
      </c>
      <c r="L53" s="6">
        <v>80252</v>
      </c>
    </row>
    <row r="54" spans="1:13" x14ac:dyDescent="0.35">
      <c r="A54" s="2">
        <v>8</v>
      </c>
      <c r="B54" s="2">
        <v>8</v>
      </c>
      <c r="C54" s="2">
        <v>10</v>
      </c>
      <c r="D54" s="2">
        <v>10</v>
      </c>
      <c r="E54" s="2">
        <v>9</v>
      </c>
      <c r="F54" s="2">
        <v>9</v>
      </c>
      <c r="G54" s="2">
        <v>9</v>
      </c>
      <c r="H54" s="2">
        <v>8</v>
      </c>
      <c r="I54" s="2">
        <v>10</v>
      </c>
      <c r="L54" s="6">
        <v>4529.4799999999996</v>
      </c>
    </row>
    <row r="55" spans="1:13" x14ac:dyDescent="0.35">
      <c r="A55" s="2">
        <v>80</v>
      </c>
      <c r="B55" s="2">
        <v>400</v>
      </c>
      <c r="C55" s="2">
        <v>500</v>
      </c>
      <c r="D55" s="2">
        <v>100</v>
      </c>
      <c r="E55" s="2">
        <v>450</v>
      </c>
      <c r="F55" s="2">
        <v>270</v>
      </c>
      <c r="G55" s="2">
        <v>90</v>
      </c>
      <c r="H55" s="2">
        <v>240</v>
      </c>
      <c r="I55" s="2">
        <v>300</v>
      </c>
    </row>
    <row r="56" spans="1:13" x14ac:dyDescent="0.35">
      <c r="A56" s="2">
        <v>100</v>
      </c>
      <c r="B56" s="2">
        <v>2500</v>
      </c>
      <c r="C56" s="2">
        <v>2500</v>
      </c>
      <c r="D56" s="2">
        <v>100</v>
      </c>
      <c r="E56" s="2">
        <v>2500</v>
      </c>
      <c r="F56" s="2">
        <v>900</v>
      </c>
      <c r="G56" s="2">
        <v>100</v>
      </c>
      <c r="H56" s="2">
        <v>900</v>
      </c>
      <c r="I56" s="2">
        <v>900</v>
      </c>
    </row>
    <row r="57" spans="1:13" x14ac:dyDescent="0.35">
      <c r="A57" s="2">
        <v>64</v>
      </c>
      <c r="B57" s="2">
        <v>64</v>
      </c>
      <c r="C57" s="2">
        <v>100</v>
      </c>
      <c r="D57" s="2">
        <v>100</v>
      </c>
      <c r="E57" s="2">
        <v>81</v>
      </c>
      <c r="F57" s="2">
        <v>81</v>
      </c>
      <c r="G57" s="2">
        <v>81</v>
      </c>
      <c r="H57" s="2">
        <v>64</v>
      </c>
      <c r="I57" s="2">
        <v>100</v>
      </c>
    </row>
    <row r="58" spans="1:13" x14ac:dyDescent="0.35">
      <c r="L58" s="7" t="s">
        <v>50</v>
      </c>
      <c r="M58" s="7"/>
    </row>
    <row r="59" spans="1:13" x14ac:dyDescent="0.35">
      <c r="K59" s="7" t="s">
        <v>41</v>
      </c>
      <c r="L59" s="7"/>
      <c r="M59" s="7" cm="1">
        <f t="array" ref="M59:M64">MMULT(_xlfn.ANCHORARRAY(J40),_xlfn.ANCHORARRAY(L49))</f>
        <v>1.2873611115501262</v>
      </c>
    </row>
    <row r="60" spans="1:13" x14ac:dyDescent="0.35">
      <c r="A60" s="4" t="s">
        <v>48</v>
      </c>
      <c r="K60" s="7" t="s">
        <v>37</v>
      </c>
      <c r="L60" s="7"/>
      <c r="M60" s="7">
        <v>0.11799999999991544</v>
      </c>
    </row>
    <row r="61" spans="1:13" x14ac:dyDescent="0.35">
      <c r="A61" s="4" cm="1">
        <f t="array" ref="A61:F66">MMULT(_xlfn.ANCHORARRAY(A52),B40:G48)</f>
        <v>9</v>
      </c>
      <c r="B61" s="4">
        <v>270</v>
      </c>
      <c r="C61" s="4">
        <v>81</v>
      </c>
      <c r="D61" s="4">
        <v>2430</v>
      </c>
      <c r="E61" s="4">
        <v>10500</v>
      </c>
      <c r="F61" s="4">
        <v>735</v>
      </c>
      <c r="K61" s="7" t="s">
        <v>38</v>
      </c>
      <c r="L61" s="7"/>
      <c r="M61" s="7">
        <v>-0.87333333340939134</v>
      </c>
    </row>
    <row r="62" spans="1:13" x14ac:dyDescent="0.35">
      <c r="A62" s="4">
        <v>270</v>
      </c>
      <c r="B62" s="4">
        <v>10500</v>
      </c>
      <c r="C62" s="4">
        <v>2430</v>
      </c>
      <c r="D62" s="4">
        <v>94500</v>
      </c>
      <c r="E62" s="4">
        <v>459000</v>
      </c>
      <c r="F62" s="4">
        <v>22050</v>
      </c>
      <c r="K62" s="7" t="s">
        <v>42</v>
      </c>
      <c r="L62" s="7"/>
      <c r="M62" s="7">
        <v>2.9000000000015801E-2</v>
      </c>
    </row>
    <row r="63" spans="1:13" x14ac:dyDescent="0.35">
      <c r="A63" s="4">
        <v>81</v>
      </c>
      <c r="B63" s="4">
        <v>2430</v>
      </c>
      <c r="C63" s="4">
        <v>735</v>
      </c>
      <c r="D63" s="4">
        <v>22050</v>
      </c>
      <c r="E63" s="4">
        <v>94500</v>
      </c>
      <c r="F63" s="4">
        <v>6723</v>
      </c>
      <c r="K63" s="7" t="s">
        <v>51</v>
      </c>
      <c r="L63" s="7"/>
      <c r="M63" s="7">
        <v>-4.1291666666666161E-3</v>
      </c>
    </row>
    <row r="64" spans="1:13" x14ac:dyDescent="0.35">
      <c r="A64" s="4">
        <v>2430</v>
      </c>
      <c r="B64" s="4">
        <v>94500</v>
      </c>
      <c r="C64" s="4">
        <v>22050</v>
      </c>
      <c r="D64" s="4">
        <v>857500</v>
      </c>
      <c r="E64" s="4">
        <v>4131000</v>
      </c>
      <c r="F64" s="4">
        <v>201690</v>
      </c>
      <c r="K64" s="7" t="s">
        <v>52</v>
      </c>
      <c r="L64" s="7"/>
      <c r="M64" s="7">
        <v>7.3333333337814111E-2</v>
      </c>
    </row>
    <row r="65" spans="1:6" x14ac:dyDescent="0.35">
      <c r="A65" s="4">
        <v>10500</v>
      </c>
      <c r="B65" s="4">
        <v>459000</v>
      </c>
      <c r="C65" s="4">
        <v>94500</v>
      </c>
      <c r="D65" s="4">
        <v>4131000</v>
      </c>
      <c r="E65" s="4">
        <v>21210000</v>
      </c>
      <c r="F65" s="4">
        <v>857500</v>
      </c>
    </row>
    <row r="66" spans="1:6" x14ac:dyDescent="0.35">
      <c r="A66" s="4">
        <v>735</v>
      </c>
      <c r="B66" s="4">
        <v>22050</v>
      </c>
      <c r="C66" s="4">
        <v>6723</v>
      </c>
      <c r="D66" s="4">
        <v>201690</v>
      </c>
      <c r="E66" s="4">
        <v>857500</v>
      </c>
      <c r="F66" s="4">
        <v>61971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bonhomme</dc:creator>
  <cp:lastModifiedBy>julien bonhomme</cp:lastModifiedBy>
  <dcterms:created xsi:type="dcterms:W3CDTF">2026-05-11T09:39:05Z</dcterms:created>
  <dcterms:modified xsi:type="dcterms:W3CDTF">2026-05-28T19:26:41Z</dcterms:modified>
</cp:coreProperties>
</file>